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yib\Desktop\Documentos Nayib\Lowest-Wessin Inmobiliaria\SOLARES\"/>
    </mc:Choice>
  </mc:AlternateContent>
  <xr:revisionPtr revIDLastSave="0" documentId="13_ncr:1_{8D33AC32-ED40-4E53-95F4-C8C6AD083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O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D54" i="1" s="1"/>
  <c r="E53" i="1"/>
  <c r="D53" i="1" s="1"/>
  <c r="E52" i="1"/>
  <c r="D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D29" i="1"/>
  <c r="D28" i="1"/>
  <c r="E27" i="1"/>
  <c r="E26" i="1"/>
  <c r="B25" i="1"/>
  <c r="D24" i="1"/>
  <c r="E23" i="1"/>
  <c r="D23" i="1"/>
  <c r="E22" i="1"/>
  <c r="E21" i="1"/>
  <c r="E20" i="1"/>
  <c r="E19" i="1"/>
  <c r="E18" i="1"/>
  <c r="B14" i="1"/>
  <c r="E14" i="1" s="1"/>
  <c r="E13" i="1"/>
  <c r="E12" i="1"/>
  <c r="E11" i="1"/>
  <c r="E9" i="1"/>
  <c r="E8" i="1"/>
  <c r="E6" i="1"/>
  <c r="D6" i="1"/>
  <c r="E4" i="1"/>
  <c r="D3" i="1"/>
  <c r="D2" i="1"/>
</calcChain>
</file>

<file path=xl/sharedStrings.xml><?xml version="1.0" encoding="utf-8"?>
<sst xmlns="http://schemas.openxmlformats.org/spreadsheetml/2006/main" count="161" uniqueCount="46">
  <si>
    <t>LOCALIZACION</t>
  </si>
  <si>
    <t>METRAJE (M2)</t>
  </si>
  <si>
    <t>FRENTE (M)</t>
  </si>
  <si>
    <t>PRECIO POR M2 ($USD)</t>
  </si>
  <si>
    <t>PRECIO TOTAL ($USD)</t>
  </si>
  <si>
    <t>ESTATUS LEGAL</t>
  </si>
  <si>
    <t>AV. 27 DE FEBRERO (ALQUILER)</t>
  </si>
  <si>
    <t>-</t>
  </si>
  <si>
    <t>CON TITULO</t>
  </si>
  <si>
    <t>AV. 27 DE FEBRERO ESQ. DR. DEFILLO</t>
  </si>
  <si>
    <t>AV. ANACAONA</t>
  </si>
  <si>
    <t>BELLA VISTA</t>
  </si>
  <si>
    <t>BRISAS DEL ESTE</t>
  </si>
  <si>
    <t>BUENA VISTA - ARROYO MANZANO, ARROYO HONDO</t>
  </si>
  <si>
    <t>A CONSULTAR</t>
  </si>
  <si>
    <t>EL CATEY - SAMANA</t>
  </si>
  <si>
    <t>EVARISTO MORALES</t>
  </si>
  <si>
    <t>HAINA - QUITA SUENO (ALQUILER)</t>
  </si>
  <si>
    <t>HERRERA (ALQUILER)</t>
  </si>
  <si>
    <t>JARABACOA</t>
  </si>
  <si>
    <t>JARABACOA - BUENA VISTA (PROYECTO)</t>
  </si>
  <si>
    <t>JARABACOA - MONTE BONITO</t>
  </si>
  <si>
    <t>KM 19 AUTOPISTA DUARTE</t>
  </si>
  <si>
    <t>LA ESPERILLA</t>
  </si>
  <si>
    <t>LA MAJAGUA - SAMANA</t>
  </si>
  <si>
    <t>LA VACAMA</t>
  </si>
  <si>
    <t>LOC. NO ESPECIFICADA (EDIFICIO COMERCIAL - ALQUILER)</t>
  </si>
  <si>
    <t>LOS JARDINES - AV. LOS PROCERES (ALQUILER)</t>
  </si>
  <si>
    <t>MICHES - LAGUNAS DEL LIMON</t>
  </si>
  <si>
    <t>MICHES - PLAYA ARRIBA</t>
  </si>
  <si>
    <t>MICHES - PLAYA ESMERALDA</t>
  </si>
  <si>
    <t>200+</t>
  </si>
  <si>
    <t>MICHES - PLAYA GUACO</t>
  </si>
  <si>
    <t>PARQUE INDUSTRIAL DISDO (ALQUILER)</t>
  </si>
  <si>
    <t>PUNTA CANA - CABEZA DE TORO</t>
  </si>
  <si>
    <t>PUNTA CANA - UVERO ALTO</t>
  </si>
  <si>
    <t>RESPALDO SAN JOAQUIN - ARROYO HONDO</t>
  </si>
  <si>
    <t>SAN FRANCISCO DE MACORIS (EDIFICIO INSTITUCIONAL)</t>
  </si>
  <si>
    <t>URBANIZACION FERNANDEZ</t>
  </si>
  <si>
    <t>1 DÓLAR</t>
  </si>
  <si>
    <t>PESOS DOMINICANOS</t>
  </si>
  <si>
    <t>SOLARES AGOSTO</t>
  </si>
  <si>
    <t>CONTACTAR ING. NAYIB WESSIN PARA MÁS INFORMACIÓN</t>
  </si>
  <si>
    <t>TELÉFONO MOVIL</t>
  </si>
  <si>
    <t>1 (809) 864-1996</t>
  </si>
  <si>
    <t>CAMBIO DEL DÓLAR DE REFERENCIA (AL 30/08/2026)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</si>
</sst>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0"/>
  </numFmts>
  <fonts count="4">
    <font>
      <sz val="11"/>
      <name val="Carlito"/>
    </font>
    <font>
      <b/>
      <sz val="11"/>
      <color rgb="FFFFFFFF"/>
      <name val="Carlito"/>
    </font>
    <font>
      <sz val="10"/>
      <color rgb="FF000000"/>
      <name val="Carlito"/>
    </font>
    <font>
      <sz val="10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4" fontId="2" fillId="3" borderId="1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4" fontId="3" fillId="3" borderId="4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3" fillId="3" borderId="1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0</xdr:row>
      <xdr:rowOff>0</xdr:rowOff>
    </xdr:from>
    <xdr:ext cx="1143000" cy="1143000"/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6"/>
  <sheetViews>
    <sheetView tabSelected="1" workbookViewId="0"/>
  </sheetViews>
  <sheetFormatPr defaultRowHeight="13.8"/>
  <cols>
    <col min="1" max="1" width="33" customWidth="1"/>
    <col min="2" max="2" width="15" customWidth="1"/>
    <col min="3" max="3" width="14" customWidth="1"/>
    <col min="4" max="5" width="18" customWidth="1"/>
    <col min="6" max="6" width="1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95" customHeight="1">
      <c r="A2" s="7" t="s">
        <v>6</v>
      </c>
      <c r="B2" s="8">
        <v>1000</v>
      </c>
      <c r="C2" s="8" t="s">
        <v>7</v>
      </c>
      <c r="D2" s="9">
        <f>E2/B2</f>
        <v>12</v>
      </c>
      <c r="E2" s="9">
        <v>12000</v>
      </c>
      <c r="F2" s="10" t="s">
        <v>8</v>
      </c>
    </row>
    <row r="3" spans="1:6" ht="16.95" customHeight="1">
      <c r="A3" s="11" t="s">
        <v>9</v>
      </c>
      <c r="B3" s="12">
        <v>842</v>
      </c>
      <c r="C3" s="12" t="s">
        <v>7</v>
      </c>
      <c r="D3" s="13">
        <f>E3/B3</f>
        <v>2019.0023752969121</v>
      </c>
      <c r="E3" s="13">
        <v>1700000</v>
      </c>
      <c r="F3" s="14" t="s">
        <v>8</v>
      </c>
    </row>
    <row r="4" spans="1:6" ht="16.95" customHeight="1">
      <c r="A4" s="11" t="s">
        <v>10</v>
      </c>
      <c r="B4" s="12">
        <v>2162</v>
      </c>
      <c r="C4" s="12">
        <v>50</v>
      </c>
      <c r="D4" s="13">
        <v>5100</v>
      </c>
      <c r="E4" s="13">
        <f>B4*D4</f>
        <v>11026200</v>
      </c>
      <c r="F4" s="14" t="s">
        <v>8</v>
      </c>
    </row>
    <row r="5" spans="1:6" ht="16.95" customHeight="1">
      <c r="A5" s="11" t="s">
        <v>11</v>
      </c>
      <c r="B5" s="12">
        <v>1440</v>
      </c>
      <c r="C5" s="12">
        <v>25</v>
      </c>
      <c r="D5" s="13">
        <v>1600</v>
      </c>
      <c r="E5" s="13">
        <v>2300000</v>
      </c>
      <c r="F5" s="14" t="s">
        <v>8</v>
      </c>
    </row>
    <row r="6" spans="1:6" ht="16.95" customHeight="1">
      <c r="A6" s="11" t="s">
        <v>12</v>
      </c>
      <c r="B6" s="12">
        <v>400</v>
      </c>
      <c r="C6" s="12" t="s">
        <v>7</v>
      </c>
      <c r="D6" s="13">
        <f>E6/B6</f>
        <v>271.28547579298834</v>
      </c>
      <c r="E6" s="13">
        <f>6500000/$B$56</f>
        <v>108514.19031719533</v>
      </c>
      <c r="F6" s="14" t="s">
        <v>8</v>
      </c>
    </row>
    <row r="7" spans="1:6" ht="30" customHeight="1">
      <c r="A7" s="11" t="s">
        <v>13</v>
      </c>
      <c r="B7" s="12">
        <v>777.89</v>
      </c>
      <c r="C7" s="12" t="s">
        <v>7</v>
      </c>
      <c r="D7" s="13" t="s">
        <v>14</v>
      </c>
      <c r="E7" s="13" t="s">
        <v>14</v>
      </c>
      <c r="F7" s="14" t="s">
        <v>8</v>
      </c>
    </row>
    <row r="8" spans="1:6" ht="16.95" customHeight="1">
      <c r="A8" s="11" t="s">
        <v>15</v>
      </c>
      <c r="B8" s="12">
        <v>20000</v>
      </c>
      <c r="C8" s="12" t="s">
        <v>7</v>
      </c>
      <c r="D8" s="13">
        <v>8</v>
      </c>
      <c r="E8" s="13">
        <f t="shared" ref="E8:E21" si="0">B8*D8</f>
        <v>160000</v>
      </c>
      <c r="F8" s="14" t="s">
        <v>8</v>
      </c>
    </row>
    <row r="9" spans="1:6" ht="16.95" customHeight="1">
      <c r="A9" s="11" t="s">
        <v>16</v>
      </c>
      <c r="B9" s="12">
        <v>1560</v>
      </c>
      <c r="C9" s="12" t="s">
        <v>7</v>
      </c>
      <c r="D9" s="13">
        <v>2300</v>
      </c>
      <c r="E9" s="13">
        <f t="shared" si="0"/>
        <v>3588000</v>
      </c>
      <c r="F9" s="14" t="s">
        <v>8</v>
      </c>
    </row>
    <row r="10" spans="1:6" ht="16.95" customHeight="1">
      <c r="A10" s="11" t="s">
        <v>17</v>
      </c>
      <c r="B10" s="12">
        <v>2000</v>
      </c>
      <c r="C10" s="12" t="s">
        <v>7</v>
      </c>
      <c r="D10" s="13" t="s">
        <v>14</v>
      </c>
      <c r="E10" s="3" t="s">
        <v>7</v>
      </c>
      <c r="F10" s="14" t="s">
        <v>8</v>
      </c>
    </row>
    <row r="11" spans="1:6" ht="16.95" customHeight="1">
      <c r="A11" s="11" t="s">
        <v>18</v>
      </c>
      <c r="B11" s="12">
        <v>1450</v>
      </c>
      <c r="C11" s="12" t="s">
        <v>7</v>
      </c>
      <c r="D11" s="13">
        <v>10</v>
      </c>
      <c r="E11" s="13">
        <f t="shared" si="0"/>
        <v>14500</v>
      </c>
      <c r="F11" s="14" t="s">
        <v>8</v>
      </c>
    </row>
    <row r="12" spans="1:6" ht="16.95" customHeight="1">
      <c r="A12" s="11" t="s">
        <v>19</v>
      </c>
      <c r="B12" s="12">
        <v>10940.62</v>
      </c>
      <c r="C12" s="12" t="s">
        <v>7</v>
      </c>
      <c r="D12" s="13">
        <v>80</v>
      </c>
      <c r="E12" s="13">
        <f t="shared" si="0"/>
        <v>875249.60000000009</v>
      </c>
      <c r="F12" s="14" t="s">
        <v>8</v>
      </c>
    </row>
    <row r="13" spans="1:6" ht="16.95" customHeight="1">
      <c r="A13" s="11" t="s">
        <v>19</v>
      </c>
      <c r="B13" s="12">
        <v>12851</v>
      </c>
      <c r="C13" s="12" t="s">
        <v>7</v>
      </c>
      <c r="D13" s="13">
        <v>70</v>
      </c>
      <c r="E13" s="13">
        <f t="shared" si="0"/>
        <v>899570</v>
      </c>
      <c r="F13" s="14" t="s">
        <v>8</v>
      </c>
    </row>
    <row r="14" spans="1:6" ht="16.95" customHeight="1">
      <c r="A14" s="11" t="s">
        <v>19</v>
      </c>
      <c r="B14" s="12">
        <f>52*628.86</f>
        <v>32700.720000000001</v>
      </c>
      <c r="C14" s="12" t="s">
        <v>7</v>
      </c>
      <c r="D14" s="13">
        <v>50</v>
      </c>
      <c r="E14" s="13">
        <f t="shared" si="0"/>
        <v>1635036</v>
      </c>
      <c r="F14" s="14" t="s">
        <v>8</v>
      </c>
    </row>
    <row r="15" spans="1:6" ht="16.95" customHeight="1">
      <c r="A15" s="11" t="s">
        <v>19</v>
      </c>
      <c r="B15" s="12" t="s">
        <v>14</v>
      </c>
      <c r="C15" s="12" t="s">
        <v>7</v>
      </c>
      <c r="D15" s="13">
        <v>85</v>
      </c>
      <c r="E15" s="3" t="s">
        <v>7</v>
      </c>
      <c r="F15" s="14" t="s">
        <v>8</v>
      </c>
    </row>
    <row r="16" spans="1:6" ht="16.95" customHeight="1">
      <c r="A16" s="11" t="s">
        <v>19</v>
      </c>
      <c r="B16" s="12" t="s">
        <v>14</v>
      </c>
      <c r="C16" s="12" t="s">
        <v>7</v>
      </c>
      <c r="D16" s="13">
        <v>160</v>
      </c>
      <c r="E16" s="3" t="s">
        <v>7</v>
      </c>
      <c r="F16" s="14" t="s">
        <v>8</v>
      </c>
    </row>
    <row r="17" spans="1:6" ht="36" customHeight="1">
      <c r="A17" s="11" t="s">
        <v>20</v>
      </c>
      <c r="B17" s="12">
        <v>9000</v>
      </c>
      <c r="C17" s="12" t="s">
        <v>7</v>
      </c>
      <c r="D17" s="13" t="s">
        <v>14</v>
      </c>
      <c r="E17" s="3" t="s">
        <v>7</v>
      </c>
      <c r="F17" s="14" t="s">
        <v>8</v>
      </c>
    </row>
    <row r="18" spans="1:6" ht="16.95" customHeight="1">
      <c r="A18" s="11" t="s">
        <v>21</v>
      </c>
      <c r="B18" s="12">
        <v>1780</v>
      </c>
      <c r="C18" s="12" t="s">
        <v>7</v>
      </c>
      <c r="D18" s="13">
        <v>65</v>
      </c>
      <c r="E18" s="13">
        <f t="shared" si="0"/>
        <v>115700</v>
      </c>
      <c r="F18" s="14" t="s">
        <v>8</v>
      </c>
    </row>
    <row r="19" spans="1:6" ht="16.95" customHeight="1">
      <c r="A19" s="11" t="s">
        <v>21</v>
      </c>
      <c r="B19" s="12">
        <v>3433.41</v>
      </c>
      <c r="C19" s="12" t="s">
        <v>7</v>
      </c>
      <c r="D19" s="13">
        <v>65</v>
      </c>
      <c r="E19" s="13">
        <f t="shared" si="0"/>
        <v>223171.65</v>
      </c>
      <c r="F19" s="14" t="s">
        <v>8</v>
      </c>
    </row>
    <row r="20" spans="1:6" ht="16.95" customHeight="1">
      <c r="A20" s="11" t="s">
        <v>21</v>
      </c>
      <c r="B20" s="12">
        <v>4000</v>
      </c>
      <c r="C20" s="12" t="s">
        <v>7</v>
      </c>
      <c r="D20" s="13">
        <v>65</v>
      </c>
      <c r="E20" s="13">
        <f t="shared" si="0"/>
        <v>260000</v>
      </c>
      <c r="F20" s="14" t="s">
        <v>8</v>
      </c>
    </row>
    <row r="21" spans="1:6" ht="16.95" customHeight="1">
      <c r="A21" s="11" t="s">
        <v>21</v>
      </c>
      <c r="B21" s="12">
        <v>27624</v>
      </c>
      <c r="C21" s="12" t="s">
        <v>7</v>
      </c>
      <c r="D21" s="13">
        <v>65</v>
      </c>
      <c r="E21" s="13">
        <f t="shared" si="0"/>
        <v>1795560</v>
      </c>
      <c r="F21" s="14" t="s">
        <v>8</v>
      </c>
    </row>
    <row r="22" spans="1:6" ht="16.95" customHeight="1">
      <c r="A22" s="11" t="s">
        <v>21</v>
      </c>
      <c r="B22" s="12">
        <v>41893.74</v>
      </c>
      <c r="C22" s="12" t="s">
        <v>7</v>
      </c>
      <c r="D22" s="13">
        <v>65</v>
      </c>
      <c r="E22" s="13">
        <f>B22*D22</f>
        <v>2723093.1</v>
      </c>
      <c r="F22" s="14" t="s">
        <v>8</v>
      </c>
    </row>
    <row r="23" spans="1:6" ht="16.95" customHeight="1">
      <c r="A23" s="11" t="s">
        <v>22</v>
      </c>
      <c r="B23" s="16">
        <v>12350</v>
      </c>
      <c r="C23" s="12" t="s">
        <v>7</v>
      </c>
      <c r="D23" s="13">
        <f>1300/$B$56</f>
        <v>21.702838063439067</v>
      </c>
      <c r="E23" s="13">
        <f>16055000/$B$56</f>
        <v>268030.05008347245</v>
      </c>
      <c r="F23" s="14" t="s">
        <v>8</v>
      </c>
    </row>
    <row r="24" spans="1:6" ht="16.95" customHeight="1">
      <c r="A24" s="11" t="s">
        <v>23</v>
      </c>
      <c r="B24" s="12">
        <v>1313</v>
      </c>
      <c r="C24" s="12" t="s">
        <v>7</v>
      </c>
      <c r="D24" s="13">
        <f>E24/B24</f>
        <v>4950.4950495049507</v>
      </c>
      <c r="E24" s="13">
        <v>6500000</v>
      </c>
      <c r="F24" s="14" t="s">
        <v>8</v>
      </c>
    </row>
    <row r="25" spans="1:6" ht="16.95" customHeight="1">
      <c r="A25" s="11" t="s">
        <v>24</v>
      </c>
      <c r="B25" s="12">
        <f>187141.21+115699.81</f>
        <v>302841.02</v>
      </c>
      <c r="C25" s="12" t="s">
        <v>7</v>
      </c>
      <c r="D25" s="13" t="s">
        <v>14</v>
      </c>
      <c r="E25" s="13" t="s">
        <v>14</v>
      </c>
      <c r="F25" s="14" t="s">
        <v>8</v>
      </c>
    </row>
    <row r="26" spans="1:6" ht="16.95" customHeight="1">
      <c r="A26" s="11" t="s">
        <v>25</v>
      </c>
      <c r="B26" s="12">
        <v>158000</v>
      </c>
      <c r="C26" s="12">
        <v>104</v>
      </c>
      <c r="D26" s="13">
        <v>85</v>
      </c>
      <c r="E26" s="13">
        <f>B26*D26</f>
        <v>13430000</v>
      </c>
      <c r="F26" s="14" t="s">
        <v>8</v>
      </c>
    </row>
    <row r="27" spans="1:6" ht="16.95" customHeight="1">
      <c r="A27" s="11" t="s">
        <v>25</v>
      </c>
      <c r="B27" s="12">
        <v>300000</v>
      </c>
      <c r="C27" s="12">
        <v>200</v>
      </c>
      <c r="D27" s="13">
        <v>85</v>
      </c>
      <c r="E27" s="13">
        <f>B27*D27</f>
        <v>25500000</v>
      </c>
      <c r="F27" s="14" t="s">
        <v>8</v>
      </c>
    </row>
    <row r="28" spans="1:6" ht="37.200000000000003" customHeight="1">
      <c r="A28" s="11" t="s">
        <v>26</v>
      </c>
      <c r="B28" s="12">
        <v>700</v>
      </c>
      <c r="C28" s="12" t="s">
        <v>7</v>
      </c>
      <c r="D28" s="13">
        <f>E28/B28</f>
        <v>15</v>
      </c>
      <c r="E28" s="13">
        <v>10500</v>
      </c>
      <c r="F28" s="14" t="s">
        <v>8</v>
      </c>
    </row>
    <row r="29" spans="1:6" ht="33" customHeight="1">
      <c r="A29" s="11" t="s">
        <v>27</v>
      </c>
      <c r="B29" s="12">
        <v>720</v>
      </c>
      <c r="C29" s="12" t="s">
        <v>7</v>
      </c>
      <c r="D29" s="13">
        <f>E29/B29</f>
        <v>6.25</v>
      </c>
      <c r="E29" s="13">
        <v>4500</v>
      </c>
      <c r="F29" s="14" t="s">
        <v>8</v>
      </c>
    </row>
    <row r="30" spans="1:6" ht="16.95" customHeight="1">
      <c r="A30" s="11" t="s">
        <v>28</v>
      </c>
      <c r="B30" s="12">
        <v>271000</v>
      </c>
      <c r="C30" s="12" t="s">
        <v>7</v>
      </c>
      <c r="D30" s="13">
        <v>30</v>
      </c>
      <c r="E30" s="13">
        <f>B30*D30</f>
        <v>8130000</v>
      </c>
      <c r="F30" s="14" t="s">
        <v>8</v>
      </c>
    </row>
    <row r="31" spans="1:6" ht="16.95" customHeight="1">
      <c r="A31" s="11" t="s">
        <v>29</v>
      </c>
      <c r="B31" s="12">
        <v>22000</v>
      </c>
      <c r="C31" s="12">
        <v>180</v>
      </c>
      <c r="D31" s="13">
        <v>250</v>
      </c>
      <c r="E31" s="13">
        <f>B31*D31</f>
        <v>5500000</v>
      </c>
      <c r="F31" s="14" t="s">
        <v>8</v>
      </c>
    </row>
    <row r="32" spans="1:6" ht="16.95" customHeight="1">
      <c r="A32" s="11" t="s">
        <v>30</v>
      </c>
      <c r="B32" s="12">
        <v>63000</v>
      </c>
      <c r="C32" s="12" t="s">
        <v>31</v>
      </c>
      <c r="D32" s="13">
        <v>220</v>
      </c>
      <c r="E32" s="13">
        <f>B32*D32</f>
        <v>13860000</v>
      </c>
      <c r="F32" s="14" t="s">
        <v>8</v>
      </c>
    </row>
    <row r="33" spans="1:6" ht="16.95" customHeight="1">
      <c r="A33" s="11" t="s">
        <v>30</v>
      </c>
      <c r="B33" s="12">
        <v>200000</v>
      </c>
      <c r="C33" s="12">
        <v>200</v>
      </c>
      <c r="D33" s="13">
        <v>220</v>
      </c>
      <c r="E33" s="13">
        <f t="shared" ref="E33:E40" si="1">B33*D33</f>
        <v>44000000</v>
      </c>
      <c r="F33" s="14" t="s">
        <v>8</v>
      </c>
    </row>
    <row r="34" spans="1:6" ht="16.95" customHeight="1">
      <c r="A34" s="11" t="s">
        <v>30</v>
      </c>
      <c r="B34" s="12">
        <v>1000000</v>
      </c>
      <c r="C34" s="12">
        <v>160</v>
      </c>
      <c r="D34" s="13">
        <v>100</v>
      </c>
      <c r="E34" s="13">
        <f t="shared" si="1"/>
        <v>100000000</v>
      </c>
      <c r="F34" s="14" t="s">
        <v>8</v>
      </c>
    </row>
    <row r="35" spans="1:6" ht="16.95" customHeight="1">
      <c r="A35" s="11" t="s">
        <v>32</v>
      </c>
      <c r="B35" s="12">
        <v>231000</v>
      </c>
      <c r="C35" s="12">
        <v>300</v>
      </c>
      <c r="D35" s="13">
        <v>80</v>
      </c>
      <c r="E35" s="13">
        <f t="shared" si="1"/>
        <v>18480000</v>
      </c>
      <c r="F35" s="14" t="s">
        <v>8</v>
      </c>
    </row>
    <row r="36" spans="1:6" ht="16.95" customHeight="1">
      <c r="A36" s="11" t="s">
        <v>32</v>
      </c>
      <c r="B36" s="12">
        <v>710000</v>
      </c>
      <c r="C36" s="12">
        <v>500</v>
      </c>
      <c r="D36" s="13">
        <v>120</v>
      </c>
      <c r="E36" s="13">
        <f t="shared" si="1"/>
        <v>85200000</v>
      </c>
      <c r="F36" s="14" t="s">
        <v>8</v>
      </c>
    </row>
    <row r="37" spans="1:6" ht="16.95" customHeight="1">
      <c r="A37" s="11" t="s">
        <v>32</v>
      </c>
      <c r="B37" s="12">
        <v>4000000</v>
      </c>
      <c r="C37" s="12">
        <v>1000</v>
      </c>
      <c r="D37" s="13">
        <v>60</v>
      </c>
      <c r="E37" s="13">
        <f t="shared" si="1"/>
        <v>240000000</v>
      </c>
      <c r="F37" s="14" t="s">
        <v>8</v>
      </c>
    </row>
    <row r="38" spans="1:6" ht="39" customHeight="1">
      <c r="A38" s="11" t="s">
        <v>33</v>
      </c>
      <c r="B38" s="12">
        <v>1798.65</v>
      </c>
      <c r="C38" s="12" t="s">
        <v>7</v>
      </c>
      <c r="D38" s="13">
        <v>7.5</v>
      </c>
      <c r="E38" s="13">
        <f t="shared" si="1"/>
        <v>13489.875</v>
      </c>
      <c r="F38" s="14" t="s">
        <v>8</v>
      </c>
    </row>
    <row r="39" spans="1:6" ht="16.95" customHeight="1">
      <c r="A39" s="11" t="s">
        <v>34</v>
      </c>
      <c r="B39" s="12">
        <v>87000</v>
      </c>
      <c r="C39" s="12">
        <v>180</v>
      </c>
      <c r="D39" s="13">
        <v>125</v>
      </c>
      <c r="E39" s="13">
        <f t="shared" si="1"/>
        <v>10875000</v>
      </c>
      <c r="F39" s="14" t="s">
        <v>8</v>
      </c>
    </row>
    <row r="40" spans="1:6" ht="16.95" customHeight="1">
      <c r="A40" s="11" t="s">
        <v>35</v>
      </c>
      <c r="B40" s="12">
        <v>9641</v>
      </c>
      <c r="C40" s="12">
        <v>35</v>
      </c>
      <c r="D40" s="13">
        <v>270</v>
      </c>
      <c r="E40" s="13">
        <f t="shared" si="1"/>
        <v>2603070</v>
      </c>
      <c r="F40" s="14" t="s">
        <v>8</v>
      </c>
    </row>
    <row r="41" spans="1:6" ht="16.95" customHeight="1">
      <c r="A41" s="11" t="s">
        <v>35</v>
      </c>
      <c r="B41" s="12">
        <v>14000</v>
      </c>
      <c r="C41" s="12">
        <v>36</v>
      </c>
      <c r="D41" s="13">
        <v>350</v>
      </c>
      <c r="E41" s="13">
        <f t="shared" ref="E41:E51" si="2">B41*D41</f>
        <v>4900000</v>
      </c>
      <c r="F41" s="14" t="s">
        <v>8</v>
      </c>
    </row>
    <row r="42" spans="1:6" ht="16.95" customHeight="1">
      <c r="A42" s="11" t="s">
        <v>35</v>
      </c>
      <c r="B42" s="12">
        <v>14500</v>
      </c>
      <c r="C42" s="12">
        <v>160</v>
      </c>
      <c r="D42" s="13">
        <v>350</v>
      </c>
      <c r="E42" s="13">
        <f t="shared" si="2"/>
        <v>5075000</v>
      </c>
      <c r="F42" s="14" t="s">
        <v>8</v>
      </c>
    </row>
    <row r="43" spans="1:6" ht="16.95" customHeight="1">
      <c r="A43" s="11" t="s">
        <v>35</v>
      </c>
      <c r="B43" s="12">
        <v>19200</v>
      </c>
      <c r="C43" s="12">
        <v>70</v>
      </c>
      <c r="D43" s="13">
        <v>270</v>
      </c>
      <c r="E43" s="13">
        <f t="shared" si="2"/>
        <v>5184000</v>
      </c>
      <c r="F43" s="14" t="s">
        <v>8</v>
      </c>
    </row>
    <row r="44" spans="1:6" ht="16.95" customHeight="1">
      <c r="A44" s="11" t="s">
        <v>35</v>
      </c>
      <c r="B44" s="12">
        <v>22000</v>
      </c>
      <c r="C44" s="12">
        <v>125</v>
      </c>
      <c r="D44" s="13">
        <v>250</v>
      </c>
      <c r="E44" s="13">
        <f t="shared" si="2"/>
        <v>5500000</v>
      </c>
      <c r="F44" s="14" t="s">
        <v>8</v>
      </c>
    </row>
    <row r="45" spans="1:6" ht="16.95" customHeight="1">
      <c r="A45" s="11" t="s">
        <v>35</v>
      </c>
      <c r="B45" s="12">
        <v>35000</v>
      </c>
      <c r="C45" s="12">
        <v>119</v>
      </c>
      <c r="D45" s="13">
        <v>250</v>
      </c>
      <c r="E45" s="13">
        <f t="shared" si="2"/>
        <v>8750000</v>
      </c>
      <c r="F45" s="14" t="s">
        <v>8</v>
      </c>
    </row>
    <row r="46" spans="1:6" ht="16.95" customHeight="1">
      <c r="A46" s="11" t="s">
        <v>35</v>
      </c>
      <c r="B46" s="12">
        <v>59000</v>
      </c>
      <c r="C46" s="12">
        <v>100</v>
      </c>
      <c r="D46" s="13">
        <v>260</v>
      </c>
      <c r="E46" s="13">
        <f t="shared" si="2"/>
        <v>15340000</v>
      </c>
      <c r="F46" s="14" t="s">
        <v>8</v>
      </c>
    </row>
    <row r="47" spans="1:6" ht="16.95" customHeight="1">
      <c r="A47" s="11" t="s">
        <v>35</v>
      </c>
      <c r="B47" s="12">
        <v>200000</v>
      </c>
      <c r="C47" s="12">
        <v>200</v>
      </c>
      <c r="D47" s="13">
        <v>170</v>
      </c>
      <c r="E47" s="13">
        <f t="shared" si="2"/>
        <v>34000000</v>
      </c>
      <c r="F47" s="14" t="s">
        <v>8</v>
      </c>
    </row>
    <row r="48" spans="1:6" ht="16.95" customHeight="1">
      <c r="A48" s="18" t="s">
        <v>35</v>
      </c>
      <c r="B48" s="16">
        <v>489864</v>
      </c>
      <c r="C48" s="16">
        <v>400</v>
      </c>
      <c r="D48" s="17">
        <v>90</v>
      </c>
      <c r="E48" s="17">
        <f t="shared" si="2"/>
        <v>44087760</v>
      </c>
      <c r="F48" s="19" t="s">
        <v>8</v>
      </c>
    </row>
    <row r="49" spans="1:8" ht="16.95" customHeight="1">
      <c r="A49" s="18" t="s">
        <v>35</v>
      </c>
      <c r="B49" s="20">
        <v>490150</v>
      </c>
      <c r="C49" s="16">
        <v>400</v>
      </c>
      <c r="D49" s="17">
        <v>90</v>
      </c>
      <c r="E49" s="17">
        <f t="shared" si="2"/>
        <v>44113500</v>
      </c>
      <c r="F49" s="19" t="s">
        <v>8</v>
      </c>
      <c r="H49" s="2"/>
    </row>
    <row r="50" spans="1:8" ht="16.95" customHeight="1">
      <c r="A50" s="18" t="s">
        <v>35</v>
      </c>
      <c r="B50" s="16">
        <v>509000</v>
      </c>
      <c r="C50" s="16">
        <v>718</v>
      </c>
      <c r="D50" s="17">
        <v>55</v>
      </c>
      <c r="E50" s="17">
        <f t="shared" si="2"/>
        <v>27995000</v>
      </c>
      <c r="F50" s="19" t="s">
        <v>8</v>
      </c>
    </row>
    <row r="51" spans="1:8" ht="16.95" customHeight="1">
      <c r="A51" s="18" t="s">
        <v>35</v>
      </c>
      <c r="B51" s="15">
        <v>1000000</v>
      </c>
      <c r="C51" s="16">
        <v>200</v>
      </c>
      <c r="D51" s="17">
        <v>65</v>
      </c>
      <c r="E51" s="17">
        <f t="shared" si="2"/>
        <v>65000000</v>
      </c>
      <c r="F51" s="19" t="s">
        <v>8</v>
      </c>
    </row>
    <row r="52" spans="1:8" ht="30.6" customHeight="1">
      <c r="A52" s="18" t="s">
        <v>36</v>
      </c>
      <c r="B52" s="16">
        <v>1090</v>
      </c>
      <c r="C52" s="16" t="s">
        <v>7</v>
      </c>
      <c r="D52" s="17">
        <f>15000/$B$56</f>
        <v>250.41736227045075</v>
      </c>
      <c r="E52" s="17">
        <f>16350000/$B$56</f>
        <v>272954.92487479135</v>
      </c>
      <c r="F52" s="19" t="s">
        <v>8</v>
      </c>
    </row>
    <row r="53" spans="1:8" ht="34.799999999999997" customHeight="1">
      <c r="A53" s="18" t="s">
        <v>37</v>
      </c>
      <c r="B53" s="16">
        <v>705.03</v>
      </c>
      <c r="C53" s="16" t="s">
        <v>7</v>
      </c>
      <c r="D53" s="17">
        <f>E53/B53</f>
        <v>2453.1569560840153</v>
      </c>
      <c r="E53" s="17">
        <f>103600000/$B$56</f>
        <v>1729549.2487479132</v>
      </c>
      <c r="F53" s="19" t="s">
        <v>8</v>
      </c>
    </row>
    <row r="54" spans="1:8" ht="16.95" customHeight="1">
      <c r="A54" s="18" t="s">
        <v>38</v>
      </c>
      <c r="B54" s="16">
        <v>1200</v>
      </c>
      <c r="C54" s="16" t="s">
        <v>7</v>
      </c>
      <c r="D54" s="17">
        <f>E54/B54</f>
        <v>1279.9109627156372</v>
      </c>
      <c r="E54" s="17">
        <f>92000000/$B$56</f>
        <v>1535893.1552587647</v>
      </c>
      <c r="F54" s="19" t="s">
        <v>8</v>
      </c>
    </row>
    <row r="55" spans="1:8" ht="13.8" customHeight="1"/>
    <row r="56" spans="1:8" ht="27" customHeight="1">
      <c r="A56" s="21" t="s">
        <v>39</v>
      </c>
      <c r="B56" s="4">
        <v>59.9</v>
      </c>
      <c r="C56" s="5" t="s">
        <v>40</v>
      </c>
    </row>
    <row r="57" spans="1:8" ht="20.100000000000001" customHeight="1">
      <c r="A57" s="21" t="s">
        <v>41</v>
      </c>
    </row>
    <row r="58" spans="1:8" ht="31.8" customHeight="1">
      <c r="A58" s="21" t="s">
        <v>45</v>
      </c>
    </row>
    <row r="59" spans="1:8" ht="8.85" customHeight="1"/>
    <row r="60" spans="1:8" ht="31.2" customHeight="1">
      <c r="A60" s="23" t="s">
        <v>42</v>
      </c>
      <c r="B60" s="23"/>
    </row>
    <row r="61" spans="1:8" ht="20.399999999999999" customHeight="1">
      <c r="A61" s="6" t="s">
        <v>43</v>
      </c>
      <c r="B61" s="22" t="s">
        <v>44</v>
      </c>
    </row>
    <row r="62" spans="1:8" ht="13.8" customHeight="1"/>
    <row r="63" spans="1:8" ht="13.8" customHeight="1"/>
    <row r="64" spans="1:8" ht="13.8" customHeight="1"/>
    <row r="65" ht="13.8" customHeight="1"/>
    <row r="66" ht="13.8" customHeight="1"/>
    <row r="72" ht="11.1" customHeight="1"/>
    <row r="86" ht="16.95" customHeight="1"/>
  </sheetData>
  <mergeCells count="1">
    <mergeCell ref="A60:B60"/>
  </mergeCells>
  <pageMargins left="0.7" right="0.7" top="0.75" bottom="0.75" header="0.3" footer="0.3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[Est - MAC] WESSIN HAZIM, NAYIB</cp:lastModifiedBy>
  <cp:lastPrinted>2026-08-30T20:08:53Z</cp:lastPrinted>
  <dcterms:modified xsi:type="dcterms:W3CDTF">2026-08-30T20:08:55Z</dcterms:modified>
</cp:coreProperties>
</file>